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charts/chart4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2660" windowHeight="7665" tabRatio="717" activeTab="2"/>
  </bookViews>
  <sheets>
    <sheet name="CONTAS" sheetId="1" r:id="rId1"/>
    <sheet name="LANÇAMENTOS" sheetId="2" r:id="rId2"/>
    <sheet name="ORÇAMENTO" sheetId="3" r:id="rId3"/>
    <sheet name="GRÁFICOS" sheetId="4" r:id="rId4"/>
  </sheets>
  <definedNames>
    <definedName name="DESPESAS_FIXAS">CONTAS!$C$5:$C$12</definedName>
    <definedName name="DESPESAS_VARIÁVEIS">CONTAS!$D$5:$D$9</definedName>
    <definedName name="GRUPOS">CONTAS!$B$4:$D$4</definedName>
    <definedName name="RECEITAS">CONTAS!$B$5</definedName>
  </definedNames>
  <calcPr calcId="124519"/>
</workbook>
</file>

<file path=xl/calcChain.xml><?xml version="1.0" encoding="utf-8"?>
<calcChain xmlns="http://schemas.openxmlformats.org/spreadsheetml/2006/main">
  <c r="K5" i="3"/>
  <c r="C7"/>
  <c r="E7"/>
  <c r="G7"/>
  <c r="I7"/>
  <c r="K8"/>
  <c r="K9"/>
  <c r="K10"/>
  <c r="K11"/>
  <c r="K12"/>
  <c r="K13"/>
  <c r="K14"/>
  <c r="K15"/>
  <c r="C17"/>
  <c r="E17"/>
  <c r="G17"/>
  <c r="I17"/>
  <c r="I24" s="1"/>
  <c r="K18"/>
  <c r="K19"/>
  <c r="K20"/>
  <c r="K21"/>
  <c r="K22"/>
  <c r="G24"/>
  <c r="B21" i="4"/>
  <c r="B20"/>
  <c r="B19"/>
  <c r="B18"/>
  <c r="B17"/>
  <c r="B8"/>
  <c r="B9"/>
  <c r="B10"/>
  <c r="B11"/>
  <c r="B12"/>
  <c r="B13"/>
  <c r="B14"/>
  <c r="B7"/>
  <c r="B4"/>
  <c r="B5" i="2"/>
  <c r="D9" i="3" s="1"/>
  <c r="B6" i="2"/>
  <c r="B7"/>
  <c r="H5"/>
  <c r="H6" s="1"/>
  <c r="H7" s="1"/>
  <c r="J21" i="3" l="1"/>
  <c r="F12"/>
  <c r="H5"/>
  <c r="F8"/>
  <c r="F5"/>
  <c r="D19"/>
  <c r="J10"/>
  <c r="D13"/>
  <c r="F22"/>
  <c r="F18"/>
  <c r="H21"/>
  <c r="H15"/>
  <c r="J20"/>
  <c r="H11"/>
  <c r="J14"/>
  <c r="D5"/>
  <c r="D8"/>
  <c r="D12"/>
  <c r="D18"/>
  <c r="D22"/>
  <c r="F11"/>
  <c r="F15"/>
  <c r="F21"/>
  <c r="H10"/>
  <c r="H14"/>
  <c r="H20"/>
  <c r="J9"/>
  <c r="J13"/>
  <c r="J19"/>
  <c r="J5"/>
  <c r="D11"/>
  <c r="D15"/>
  <c r="D21"/>
  <c r="F10"/>
  <c r="F14"/>
  <c r="F20"/>
  <c r="H9"/>
  <c r="H13"/>
  <c r="H19"/>
  <c r="J8"/>
  <c r="J12"/>
  <c r="J18"/>
  <c r="J22"/>
  <c r="D10"/>
  <c r="D14"/>
  <c r="D20"/>
  <c r="L20" s="1"/>
  <c r="F9"/>
  <c r="F13"/>
  <c r="L13" s="1"/>
  <c r="F19"/>
  <c r="H8"/>
  <c r="L8" s="1"/>
  <c r="H12"/>
  <c r="H18"/>
  <c r="H22"/>
  <c r="J11"/>
  <c r="J15"/>
  <c r="K7"/>
  <c r="K17"/>
  <c r="C24"/>
  <c r="E24"/>
  <c r="B16" i="4"/>
  <c r="B6"/>
  <c r="L14" i="3" l="1"/>
  <c r="D7"/>
  <c r="L10"/>
  <c r="L5"/>
  <c r="F7"/>
  <c r="L21"/>
  <c r="F17"/>
  <c r="B23" i="4"/>
  <c r="L9" i="3"/>
  <c r="H17"/>
  <c r="J7"/>
  <c r="L15"/>
  <c r="L19"/>
  <c r="H7"/>
  <c r="L12"/>
  <c r="D17"/>
  <c r="L18"/>
  <c r="J17"/>
  <c r="L11"/>
  <c r="L22"/>
  <c r="K24"/>
  <c r="L7" l="1"/>
  <c r="F24"/>
  <c r="L17"/>
  <c r="H24"/>
  <c r="D24"/>
  <c r="J24"/>
  <c r="L24" l="1"/>
</calcChain>
</file>

<file path=xl/sharedStrings.xml><?xml version="1.0" encoding="utf-8"?>
<sst xmlns="http://schemas.openxmlformats.org/spreadsheetml/2006/main" count="83" uniqueCount="33">
  <si>
    <t>CONTAS</t>
  </si>
  <si>
    <t>RECEITAS</t>
  </si>
  <si>
    <t>DESPESAS FIXAS</t>
  </si>
  <si>
    <t>DESPESAS VARIÁVEIS</t>
  </si>
  <si>
    <t>SALÁRIO</t>
  </si>
  <si>
    <t>ALUGUEL</t>
  </si>
  <si>
    <t>LAZER</t>
  </si>
  <si>
    <t>ÁGUA</t>
  </si>
  <si>
    <t>CLUBE</t>
  </si>
  <si>
    <t>LUZ</t>
  </si>
  <si>
    <t>CINEMA</t>
  </si>
  <si>
    <t>TELEFONE</t>
  </si>
  <si>
    <t>PASSEIOS</t>
  </si>
  <si>
    <t>TRANSPORTE</t>
  </si>
  <si>
    <t>RESTAURANTES</t>
  </si>
  <si>
    <t>ALIMENTAÇÃO</t>
  </si>
  <si>
    <t>ESCOLA</t>
  </si>
  <si>
    <t>EMPRÉSTIMO</t>
  </si>
  <si>
    <t>LANÇAMENTOS</t>
  </si>
  <si>
    <t>CÓDIGO</t>
  </si>
  <si>
    <t>DATA</t>
  </si>
  <si>
    <t>GRUPO</t>
  </si>
  <si>
    <t>CONTA</t>
  </si>
  <si>
    <t>CRÉDITO</t>
  </si>
  <si>
    <t>DÉBITO</t>
  </si>
  <si>
    <t>SALDO</t>
  </si>
  <si>
    <t>Jan</t>
  </si>
  <si>
    <t>PROG</t>
  </si>
  <si>
    <t>REAL</t>
  </si>
  <si>
    <t>Fev</t>
  </si>
  <si>
    <t>Mar</t>
  </si>
  <si>
    <t>Abr</t>
  </si>
  <si>
    <t>TOTAL</t>
  </si>
</sst>
</file>

<file path=xl/styles.xml><?xml version="1.0" encoding="utf-8"?>
<styleSheet xmlns="http://schemas.openxmlformats.org/spreadsheetml/2006/main">
  <numFmts count="1">
    <numFmt numFmtId="44" formatCode="_-&quot;R$&quot;\ * #,##0.00_-;\-&quot;R$&quot;\ * #,##0.00_-;_-&quot;R$&quot;\ * &quot;-&quot;??_-;_-@_-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libri"/>
      <family val="2"/>
      <scheme val="minor"/>
    </font>
    <font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6" tint="-0.249977111117893"/>
        <bgColor theme="4"/>
      </patternFill>
    </fill>
    <fill>
      <patternFill patternType="solid">
        <fgColor theme="9" tint="-0.249977111117893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theme="4" tint="0.79998168889431442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theme="4" tint="0.7999816888943144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2">
    <xf numFmtId="0" fontId="0" fillId="0" borderId="0" xfId="0"/>
    <xf numFmtId="0" fontId="5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" fontId="0" fillId="5" borderId="2" xfId="0" applyNumberFormat="1" applyFont="1" applyFill="1" applyBorder="1" applyAlignment="1">
      <alignment horizontal="left" vertical="center"/>
    </xf>
    <xf numFmtId="0" fontId="3" fillId="0" borderId="0" xfId="0" applyFont="1"/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vertical="center"/>
    </xf>
    <xf numFmtId="14" fontId="6" fillId="0" borderId="0" xfId="0" applyNumberFormat="1" applyFont="1" applyFill="1" applyBorder="1" applyAlignment="1">
      <alignment horizontal="left" vertical="center"/>
    </xf>
    <xf numFmtId="44" fontId="6" fillId="0" borderId="0" xfId="1" applyNumberFormat="1" applyFont="1" applyFill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44" fontId="0" fillId="5" borderId="2" xfId="1" applyFont="1" applyFill="1" applyBorder="1" applyAlignment="1">
      <alignment horizontal="left" vertical="center"/>
    </xf>
    <xf numFmtId="44" fontId="0" fillId="0" borderId="0" xfId="1" applyFont="1" applyAlignment="1">
      <alignment horizontal="center" vertical="center"/>
    </xf>
    <xf numFmtId="16" fontId="3" fillId="8" borderId="0" xfId="0" applyNumberFormat="1" applyFont="1" applyFill="1" applyBorder="1" applyAlignment="1">
      <alignment horizontal="left" vertical="center"/>
    </xf>
    <xf numFmtId="0" fontId="3" fillId="10" borderId="0" xfId="0" applyFont="1" applyFill="1" applyAlignment="1">
      <alignment horizontal="center" vertical="center"/>
    </xf>
    <xf numFmtId="44" fontId="0" fillId="11" borderId="2" xfId="1" applyFont="1" applyFill="1" applyBorder="1" applyAlignment="1">
      <alignment horizontal="left" vertical="center"/>
    </xf>
    <xf numFmtId="44" fontId="0" fillId="10" borderId="0" xfId="1" applyFont="1" applyFill="1" applyAlignment="1">
      <alignment horizontal="center" vertical="center"/>
    </xf>
    <xf numFmtId="44" fontId="2" fillId="3" borderId="1" xfId="1" applyFont="1" applyFill="1" applyBorder="1" applyAlignment="1">
      <alignment horizontal="center" vertical="center"/>
    </xf>
    <xf numFmtId="44" fontId="2" fillId="4" borderId="1" xfId="1" applyFont="1" applyFill="1" applyBorder="1" applyAlignment="1">
      <alignment horizontal="center" vertical="center"/>
    </xf>
    <xf numFmtId="44" fontId="3" fillId="9" borderId="0" xfId="1" applyFont="1" applyFill="1" applyAlignment="1">
      <alignment horizontal="center" vertical="center"/>
    </xf>
    <xf numFmtId="0" fontId="2" fillId="12" borderId="0" xfId="0" applyFont="1" applyFill="1" applyAlignment="1">
      <alignment horizontal="left" vertical="center"/>
    </xf>
    <xf numFmtId="0" fontId="4" fillId="12" borderId="0" xfId="0" applyFont="1" applyFill="1"/>
    <xf numFmtId="0" fontId="4" fillId="12" borderId="0" xfId="0" applyFont="1" applyFill="1" applyAlignment="1">
      <alignment horizontal="left" vertical="center"/>
    </xf>
    <xf numFmtId="0" fontId="3" fillId="7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</cellXfs>
  <cellStyles count="2">
    <cellStyle name="Moeda" xfId="1" builtinId="4"/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left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left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left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left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relativeIndent="0" justifyLastLine="0" shrinkToFit="0" mergeCell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relativeIndent="0" justifyLastLine="0" shrinkToFit="0" mergeCell="0" readingOrder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plotArea>
      <c:layout/>
      <c:barChart>
        <c:barDir val="col"/>
        <c:grouping val="clustered"/>
        <c:ser>
          <c:idx val="0"/>
          <c:order val="0"/>
          <c:cat>
            <c:strRef>
              <c:f>GRÁFICOS!$A$7:$A$14</c:f>
              <c:strCache>
                <c:ptCount val="8"/>
                <c:pt idx="0">
                  <c:v>ALUGUEL</c:v>
                </c:pt>
                <c:pt idx="1">
                  <c:v>ÁGUA</c:v>
                </c:pt>
                <c:pt idx="2">
                  <c:v>LUZ</c:v>
                </c:pt>
                <c:pt idx="3">
                  <c:v>TELEFONE</c:v>
                </c:pt>
                <c:pt idx="4">
                  <c:v>TRANSPORTE</c:v>
                </c:pt>
                <c:pt idx="5">
                  <c:v>ALIMENTAÇÃO</c:v>
                </c:pt>
                <c:pt idx="6">
                  <c:v>ESCOLA</c:v>
                </c:pt>
                <c:pt idx="7">
                  <c:v>EMPRÉSTIMO</c:v>
                </c:pt>
              </c:strCache>
            </c:strRef>
          </c:cat>
          <c:val>
            <c:numRef>
              <c:f>GRÁFICOS!$B$7:$B$14</c:f>
              <c:numCache>
                <c:formatCode>General</c:formatCode>
                <c:ptCount val="8"/>
                <c:pt idx="0">
                  <c:v>1500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axId val="148973440"/>
        <c:axId val="148974976"/>
      </c:barChart>
      <c:catAx>
        <c:axId val="148973440"/>
        <c:scaling>
          <c:orientation val="minMax"/>
        </c:scaling>
        <c:axPos val="b"/>
        <c:tickLblPos val="nextTo"/>
        <c:crossAx val="148974976"/>
        <c:crosses val="autoZero"/>
        <c:auto val="1"/>
        <c:lblAlgn val="ctr"/>
        <c:lblOffset val="100"/>
      </c:catAx>
      <c:valAx>
        <c:axId val="148974976"/>
        <c:scaling>
          <c:orientation val="minMax"/>
        </c:scaling>
        <c:axPos val="l"/>
        <c:majorGridlines/>
        <c:numFmt formatCode="General" sourceLinked="1"/>
        <c:tickLblPos val="nextTo"/>
        <c:crossAx val="148973440"/>
        <c:crosses val="autoZero"/>
        <c:crossBetween val="between"/>
      </c:valAx>
    </c:plotArea>
    <c:plotVisOnly val="1"/>
  </c:chart>
  <c:spPr>
    <a:ln>
      <a:solidFill>
        <a:schemeClr val="bg1"/>
      </a:solidFill>
    </a:ln>
  </c:spPr>
  <c:printSettings>
    <c:headerFooter/>
    <c:pageMargins b="0.78740157499999996" l="0.511811024" r="0.511811024" t="0.78740157499999996" header="0.31496062000000014" footer="0.3149606200000001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plotArea>
      <c:layout/>
      <c:barChart>
        <c:barDir val="col"/>
        <c:grouping val="clustered"/>
        <c:ser>
          <c:idx val="0"/>
          <c:order val="0"/>
          <c:cat>
            <c:strRef>
              <c:f>GRÁFICOS!$A$17:$A$21</c:f>
              <c:strCache>
                <c:ptCount val="5"/>
                <c:pt idx="0">
                  <c:v>LAZER</c:v>
                </c:pt>
                <c:pt idx="1">
                  <c:v>CLUBE</c:v>
                </c:pt>
                <c:pt idx="2">
                  <c:v>CINEMA</c:v>
                </c:pt>
                <c:pt idx="3">
                  <c:v>PASSEIOS</c:v>
                </c:pt>
                <c:pt idx="4">
                  <c:v>RESTAURANTES</c:v>
                </c:pt>
              </c:strCache>
            </c:strRef>
          </c:cat>
          <c:val>
            <c:numRef>
              <c:f>GRÁFICOS!$B$17:$B$21</c:f>
              <c:numCache>
                <c:formatCode>General</c:formatCode>
                <c:ptCount val="5"/>
                <c:pt idx="0">
                  <c:v>200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148994304"/>
        <c:axId val="149004288"/>
      </c:barChart>
      <c:catAx>
        <c:axId val="148994304"/>
        <c:scaling>
          <c:orientation val="minMax"/>
        </c:scaling>
        <c:axPos val="b"/>
        <c:tickLblPos val="nextTo"/>
        <c:crossAx val="149004288"/>
        <c:crosses val="autoZero"/>
        <c:auto val="1"/>
        <c:lblAlgn val="ctr"/>
        <c:lblOffset val="100"/>
      </c:catAx>
      <c:valAx>
        <c:axId val="149004288"/>
        <c:scaling>
          <c:orientation val="minMax"/>
        </c:scaling>
        <c:axPos val="l"/>
        <c:majorGridlines/>
        <c:numFmt formatCode="General" sourceLinked="1"/>
        <c:tickLblPos val="nextTo"/>
        <c:crossAx val="148994304"/>
        <c:crosses val="autoZero"/>
        <c:crossBetween val="between"/>
      </c:valAx>
    </c:plotArea>
    <c:plotVisOnly val="1"/>
  </c:chart>
  <c:spPr>
    <a:ln>
      <a:solidFill>
        <a:schemeClr val="bg1"/>
      </a:solidFill>
    </a:ln>
  </c:spPr>
  <c:printSettings>
    <c:headerFooter/>
    <c:pageMargins b="0.78740157499999996" l="0.511811024" r="0.511811024" t="0.78740157499999996" header="0.31496062000000014" footer="0.3149606200000001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autoTitleDeleted val="1"/>
    <c:plotArea>
      <c:layout/>
      <c:pieChart>
        <c:varyColors val="1"/>
        <c:ser>
          <c:idx val="0"/>
          <c:order val="0"/>
          <c:cat>
            <c:strRef>
              <c:f>(GRÁFICOS!$A$7:$A$14,GRÁFICOS!$A$17:$A$21)</c:f>
              <c:strCache>
                <c:ptCount val="13"/>
                <c:pt idx="0">
                  <c:v>ALUGUEL</c:v>
                </c:pt>
                <c:pt idx="1">
                  <c:v>ÁGUA</c:v>
                </c:pt>
                <c:pt idx="2">
                  <c:v>LUZ</c:v>
                </c:pt>
                <c:pt idx="3">
                  <c:v>TELEFONE</c:v>
                </c:pt>
                <c:pt idx="4">
                  <c:v>TRANSPORTE</c:v>
                </c:pt>
                <c:pt idx="5">
                  <c:v>ALIMENTAÇÃO</c:v>
                </c:pt>
                <c:pt idx="6">
                  <c:v>ESCOLA</c:v>
                </c:pt>
                <c:pt idx="7">
                  <c:v>EMPRÉSTIMO</c:v>
                </c:pt>
                <c:pt idx="8">
                  <c:v>LAZER</c:v>
                </c:pt>
                <c:pt idx="9">
                  <c:v>CLUBE</c:v>
                </c:pt>
                <c:pt idx="10">
                  <c:v>CINEMA</c:v>
                </c:pt>
                <c:pt idx="11">
                  <c:v>PASSEIOS</c:v>
                </c:pt>
                <c:pt idx="12">
                  <c:v>RESTAURANTES</c:v>
                </c:pt>
              </c:strCache>
            </c:strRef>
          </c:cat>
          <c:val>
            <c:numRef>
              <c:f>(GRÁFICOS!$B$7:$B$14,GRÁFICOS!$B$17:$B$21)</c:f>
              <c:numCache>
                <c:formatCode>General</c:formatCode>
                <c:ptCount val="13"/>
                <c:pt idx="0">
                  <c:v>1500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firstSliceAng val="0"/>
      </c:pieChart>
      <c:spPr>
        <a:ln>
          <a:solidFill>
            <a:schemeClr val="bg1"/>
          </a:solidFill>
        </a:ln>
      </c:spPr>
    </c:plotArea>
    <c:legend>
      <c:legendPos val="r"/>
      <c:layout/>
    </c:legend>
    <c:plotVisOnly val="1"/>
  </c:chart>
  <c:spPr>
    <a:ln>
      <a:solidFill>
        <a:schemeClr val="bg1"/>
      </a:solidFill>
    </a:ln>
  </c:spPr>
  <c:printSettings>
    <c:headerFooter/>
    <c:pageMargins b="0.78740157499999996" l="0.511811024" r="0.511811024" t="0.78740157499999996" header="0.31496062000000014" footer="0.3149606200000001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autoTitleDeleted val="1"/>
    <c:plotArea>
      <c:layout/>
      <c:pieChart>
        <c:varyColors val="1"/>
        <c:ser>
          <c:idx val="0"/>
          <c:order val="0"/>
          <c:cat>
            <c:strRef>
              <c:f>(GRÁFICOS!$A$6,GRÁFICOS!$A$16,GRÁFICOS!$A$23)</c:f>
              <c:strCache>
                <c:ptCount val="3"/>
                <c:pt idx="0">
                  <c:v>DESPESAS FIXAS</c:v>
                </c:pt>
                <c:pt idx="1">
                  <c:v>DESPESAS VARIÁVEIS</c:v>
                </c:pt>
                <c:pt idx="2">
                  <c:v>SALDO</c:v>
                </c:pt>
              </c:strCache>
            </c:strRef>
          </c:cat>
          <c:val>
            <c:numRef>
              <c:f>(GRÁFICOS!$B$6,GRÁFICOS!$B$16,GRÁFICOS!$B$23)</c:f>
              <c:numCache>
                <c:formatCode>General</c:formatCode>
                <c:ptCount val="3"/>
                <c:pt idx="0">
                  <c:v>1500</c:v>
                </c:pt>
                <c:pt idx="1">
                  <c:v>200</c:v>
                </c:pt>
                <c:pt idx="2">
                  <c:v>3300</c:v>
                </c:pt>
              </c:numCache>
            </c:numRef>
          </c:val>
        </c:ser>
        <c:firstSliceAng val="0"/>
      </c:pieChart>
    </c:plotArea>
    <c:legend>
      <c:legendPos val="r"/>
      <c:layout/>
    </c:legend>
    <c:plotVisOnly val="1"/>
  </c:chart>
  <c:spPr>
    <a:ln>
      <a:solidFill>
        <a:schemeClr val="bg1"/>
      </a:solidFill>
    </a:ln>
  </c:spPr>
  <c:printSettings>
    <c:headerFooter/>
    <c:pageMargins b="0.78740157499999996" l="0.511811024" r="0.511811024" t="0.78740157499999996" header="0.31496062000000014" footer="0.31496062000000014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466725</xdr:colOff>
      <xdr:row>15</xdr:row>
      <xdr:rowOff>85725</xdr:rowOff>
    </xdr:from>
    <xdr:to>
      <xdr:col>10</xdr:col>
      <xdr:colOff>441600</xdr:colOff>
      <xdr:row>27</xdr:row>
      <xdr:rowOff>95250</xdr:rowOff>
    </xdr:to>
    <xdr:graphicFrame macro="">
      <xdr:nvGraphicFramePr>
        <xdr:cNvPr id="7" name="Grá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15</xdr:row>
      <xdr:rowOff>95250</xdr:rowOff>
    </xdr:from>
    <xdr:to>
      <xdr:col>4</xdr:col>
      <xdr:colOff>409575</xdr:colOff>
      <xdr:row>27</xdr:row>
      <xdr:rowOff>76200</xdr:rowOff>
    </xdr:to>
    <xdr:graphicFrame macro="">
      <xdr:nvGraphicFramePr>
        <xdr:cNvPr id="8" name="Gráfico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485775</xdr:colOff>
      <xdr:row>0</xdr:row>
      <xdr:rowOff>0</xdr:rowOff>
    </xdr:from>
    <xdr:to>
      <xdr:col>10</xdr:col>
      <xdr:colOff>476250</xdr:colOff>
      <xdr:row>15</xdr:row>
      <xdr:rowOff>19050</xdr:rowOff>
    </xdr:to>
    <xdr:graphicFrame macro="">
      <xdr:nvGraphicFramePr>
        <xdr:cNvPr id="10" name="Gráfico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0</xdr:row>
      <xdr:rowOff>9525</xdr:rowOff>
    </xdr:from>
    <xdr:to>
      <xdr:col>4</xdr:col>
      <xdr:colOff>447225</xdr:colOff>
      <xdr:row>15</xdr:row>
      <xdr:rowOff>32025</xdr:rowOff>
    </xdr:to>
    <xdr:graphicFrame macro="">
      <xdr:nvGraphicFramePr>
        <xdr:cNvPr id="11" name="Gráfico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5" name="TBLANÇAMENTOS" displayName="TBLANÇAMENTOS" ref="B4:H7" totalsRowShown="0" headerRowDxfId="8" dataDxfId="7" dataCellStyle="Moeda">
  <autoFilter ref="B4:H7"/>
  <tableColumns count="7">
    <tableColumn id="1" name="CÓDIGO" dataDxfId="6">
      <calculatedColumnFormula>TEXT(C5,"MMM")&amp;E5</calculatedColumnFormula>
    </tableColumn>
    <tableColumn id="2" name="DATA" dataDxfId="5"/>
    <tableColumn id="3" name="GRUPO" dataDxfId="4"/>
    <tableColumn id="4" name="CONTA" dataDxfId="3"/>
    <tableColumn id="5" name="CRÉDITO" dataDxfId="2" dataCellStyle="Moeda"/>
    <tableColumn id="6" name="DÉBITO" dataDxfId="1" dataCellStyle="Moeda"/>
    <tableColumn id="7" name="SALDO" dataDxfId="0" dataCellStyle="Moeda">
      <calculatedColumnFormula>F5-G5+H4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D12"/>
  <sheetViews>
    <sheetView showGridLines="0" workbookViewId="0">
      <selection activeCell="C5" sqref="C5"/>
    </sheetView>
  </sheetViews>
  <sheetFormatPr defaultRowHeight="15"/>
  <cols>
    <col min="1" max="1" width="9.140625" customWidth="1"/>
    <col min="2" max="4" width="25.5703125" customWidth="1"/>
    <col min="5" max="5" width="32.5703125" customWidth="1"/>
  </cols>
  <sheetData>
    <row r="2" spans="2:4" ht="23.25">
      <c r="B2" s="1" t="s">
        <v>0</v>
      </c>
    </row>
    <row r="4" spans="2:4" s="6" customFormat="1">
      <c r="B4" s="2" t="s">
        <v>1</v>
      </c>
      <c r="C4" s="3" t="s">
        <v>2</v>
      </c>
      <c r="D4" s="4" t="s">
        <v>3</v>
      </c>
    </row>
    <row r="5" spans="2:4" s="6" customFormat="1">
      <c r="B5" s="5" t="s">
        <v>4</v>
      </c>
      <c r="C5" s="5" t="s">
        <v>5</v>
      </c>
      <c r="D5" s="5" t="s">
        <v>6</v>
      </c>
    </row>
    <row r="6" spans="2:4">
      <c r="C6" s="5" t="s">
        <v>7</v>
      </c>
      <c r="D6" s="5" t="s">
        <v>8</v>
      </c>
    </row>
    <row r="7" spans="2:4">
      <c r="C7" s="5" t="s">
        <v>9</v>
      </c>
      <c r="D7" s="5" t="s">
        <v>10</v>
      </c>
    </row>
    <row r="8" spans="2:4">
      <c r="C8" s="5" t="s">
        <v>11</v>
      </c>
      <c r="D8" s="5" t="s">
        <v>12</v>
      </c>
    </row>
    <row r="9" spans="2:4">
      <c r="C9" s="5" t="s">
        <v>13</v>
      </c>
      <c r="D9" s="5" t="s">
        <v>14</v>
      </c>
    </row>
    <row r="10" spans="2:4">
      <c r="C10" s="5" t="s">
        <v>15</v>
      </c>
    </row>
    <row r="11" spans="2:4">
      <c r="C11" s="5" t="s">
        <v>16</v>
      </c>
    </row>
    <row r="12" spans="2:4">
      <c r="C12" s="5" t="s">
        <v>17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>
  <dimension ref="B2:H13"/>
  <sheetViews>
    <sheetView showGridLines="0" workbookViewId="0">
      <selection activeCell="B12" sqref="B12"/>
    </sheetView>
  </sheetViews>
  <sheetFormatPr defaultRowHeight="15"/>
  <cols>
    <col min="1" max="1" width="9.140625" style="8"/>
    <col min="2" max="2" width="24.140625" style="8" bestFit="1" customWidth="1"/>
    <col min="3" max="3" width="13.42578125" style="8" customWidth="1"/>
    <col min="4" max="4" width="19.42578125" style="8" customWidth="1"/>
    <col min="5" max="5" width="29.42578125" style="8" customWidth="1"/>
    <col min="6" max="8" width="14.42578125" style="8" customWidth="1"/>
    <col min="9" max="16384" width="9.140625" style="8"/>
  </cols>
  <sheetData>
    <row r="2" spans="2:8" ht="23.25">
      <c r="B2" s="7" t="s">
        <v>18</v>
      </c>
    </row>
    <row r="4" spans="2:8" s="11" customFormat="1">
      <c r="B4" s="10" t="s">
        <v>19</v>
      </c>
      <c r="C4" s="10" t="s">
        <v>20</v>
      </c>
      <c r="D4" s="10" t="s">
        <v>21</v>
      </c>
      <c r="E4" s="10" t="s">
        <v>22</v>
      </c>
      <c r="F4" s="10" t="s">
        <v>23</v>
      </c>
      <c r="G4" s="10" t="s">
        <v>24</v>
      </c>
      <c r="H4" s="10" t="s">
        <v>25</v>
      </c>
    </row>
    <row r="5" spans="2:8" s="12" customFormat="1">
      <c r="B5" s="16" t="str">
        <f t="shared" ref="B5:B7" si="0">TEXT(C5,"MMM")&amp;E5</f>
        <v>janSALÁRIO</v>
      </c>
      <c r="C5" s="13">
        <v>43831</v>
      </c>
      <c r="D5" s="12" t="s">
        <v>1</v>
      </c>
      <c r="E5" s="12" t="s">
        <v>4</v>
      </c>
      <c r="F5" s="14">
        <v>5000</v>
      </c>
      <c r="G5" s="14"/>
      <c r="H5" s="14">
        <f>F5-G5</f>
        <v>5000</v>
      </c>
    </row>
    <row r="6" spans="2:8" s="12" customFormat="1">
      <c r="B6" s="16" t="str">
        <f t="shared" si="0"/>
        <v>janALUGUEL</v>
      </c>
      <c r="C6" s="13">
        <v>43832</v>
      </c>
      <c r="D6" s="12" t="s">
        <v>2</v>
      </c>
      <c r="E6" s="12" t="s">
        <v>5</v>
      </c>
      <c r="F6" s="14"/>
      <c r="G6" s="14">
        <v>1500</v>
      </c>
      <c r="H6" s="14">
        <f t="shared" ref="H6:H7" si="1">F6-G6+H5</f>
        <v>3500</v>
      </c>
    </row>
    <row r="7" spans="2:8" s="12" customFormat="1">
      <c r="B7" s="16" t="str">
        <f t="shared" si="0"/>
        <v>janLAZER</v>
      </c>
      <c r="C7" s="13">
        <v>43833</v>
      </c>
      <c r="D7" s="12" t="s">
        <v>3</v>
      </c>
      <c r="E7" s="12" t="s">
        <v>6</v>
      </c>
      <c r="F7" s="14"/>
      <c r="G7" s="14">
        <v>200</v>
      </c>
      <c r="H7" s="14">
        <f t="shared" si="1"/>
        <v>3300</v>
      </c>
    </row>
    <row r="8" spans="2:8" s="15" customFormat="1"/>
    <row r="9" spans="2:8" s="15" customFormat="1"/>
    <row r="10" spans="2:8" s="15" customFormat="1"/>
    <row r="11" spans="2:8" s="15" customFormat="1"/>
    <row r="12" spans="2:8" s="15" customFormat="1"/>
    <row r="13" spans="2:8" s="15" customFormat="1"/>
  </sheetData>
  <dataValidations count="2">
    <dataValidation type="list" allowBlank="1" showInputMessage="1" showErrorMessage="1" sqref="D5:D7">
      <formula1>GRUPOS</formula1>
    </dataValidation>
    <dataValidation type="list" allowBlank="1" showInputMessage="1" showErrorMessage="1" sqref="E5:E7">
      <formula1>INDIRECT(SUBSTITUTE(D5," ","_",1))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B2:L24"/>
  <sheetViews>
    <sheetView showGridLines="0" tabSelected="1" zoomScale="85" zoomScaleNormal="85" workbookViewId="0">
      <selection activeCell="K14" sqref="K14"/>
    </sheetView>
  </sheetViews>
  <sheetFormatPr defaultRowHeight="15"/>
  <cols>
    <col min="2" max="2" width="19.85546875" bestFit="1" customWidth="1"/>
    <col min="3" max="4" width="11.85546875" style="9" customWidth="1"/>
    <col min="5" max="10" width="11.85546875" customWidth="1"/>
    <col min="11" max="12" width="13.42578125" customWidth="1"/>
  </cols>
  <sheetData>
    <row r="2" spans="2:12">
      <c r="C2" s="30" t="s">
        <v>26</v>
      </c>
      <c r="D2" s="30"/>
      <c r="E2" s="31" t="s">
        <v>29</v>
      </c>
      <c r="F2" s="31"/>
      <c r="G2" s="30" t="s">
        <v>30</v>
      </c>
      <c r="H2" s="30"/>
      <c r="I2" s="31" t="s">
        <v>31</v>
      </c>
      <c r="J2" s="31"/>
      <c r="K2" s="31" t="s">
        <v>32</v>
      </c>
      <c r="L2" s="31"/>
    </row>
    <row r="3" spans="2:12">
      <c r="B3" s="17">
        <v>2020</v>
      </c>
      <c r="C3" s="21" t="s">
        <v>27</v>
      </c>
      <c r="D3" s="17" t="s">
        <v>28</v>
      </c>
      <c r="E3" s="21" t="s">
        <v>27</v>
      </c>
      <c r="F3" s="17" t="s">
        <v>28</v>
      </c>
      <c r="G3" s="21" t="s">
        <v>27</v>
      </c>
      <c r="H3" s="17" t="s">
        <v>28</v>
      </c>
      <c r="I3" s="21" t="s">
        <v>27</v>
      </c>
      <c r="J3" s="17" t="s">
        <v>28</v>
      </c>
      <c r="K3" s="21" t="s">
        <v>27</v>
      </c>
      <c r="L3" s="17" t="s">
        <v>28</v>
      </c>
    </row>
    <row r="4" spans="2:12">
      <c r="B4" s="2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</row>
    <row r="5" spans="2:12">
      <c r="B5" s="5" t="s">
        <v>4</v>
      </c>
      <c r="C5" s="22">
        <v>5000</v>
      </c>
      <c r="D5" s="18">
        <f>SUMIF(TBLANÇAMENTOS[[#All],[CÓDIGO]],C$2&amp;$B5,TBLANÇAMENTOS[[#All],[CRÉDITO]]) - SUMIF(TBLANÇAMENTOS[[#All],[CÓDIGO]],C$2&amp;$B5,TBLANÇAMENTOS[[#All],[DÉBITO]])</f>
        <v>5000</v>
      </c>
      <c r="E5" s="22">
        <v>5000</v>
      </c>
      <c r="F5" s="18">
        <f>SUMIF(TBLANÇAMENTOS[[#All],[CÓDIGO]],E$2&amp;$B5,TBLANÇAMENTOS[[#All],[CRÉDITO]]) - SUMIF(TBLANÇAMENTOS[[#All],[CÓDIGO]],E$2&amp;$B5,TBLANÇAMENTOS[[#All],[DÉBITO]])</f>
        <v>0</v>
      </c>
      <c r="G5" s="22">
        <v>5000</v>
      </c>
      <c r="H5" s="18">
        <f>SUMIF(TBLANÇAMENTOS[[#All],[CÓDIGO]],G$2&amp;$B5,TBLANÇAMENTOS[[#All],[CRÉDITO]]) - SUMIF(TBLANÇAMENTOS[[#All],[CÓDIGO]],G$2&amp;$B5,TBLANÇAMENTOS[[#All],[DÉBITO]])</f>
        <v>0</v>
      </c>
      <c r="I5" s="22">
        <v>5000</v>
      </c>
      <c r="J5" s="18">
        <f>SUMIF(TBLANÇAMENTOS[[#All],[CÓDIGO]],I$2&amp;$B5,TBLANÇAMENTOS[[#All],[CRÉDITO]]) - SUMIF(TBLANÇAMENTOS[[#All],[CÓDIGO]],I$2&amp;$B5,TBLANÇAMENTOS[[#All],[DÉBITO]])</f>
        <v>0</v>
      </c>
      <c r="K5" s="22">
        <f>C5+E5+G5+I5</f>
        <v>20000</v>
      </c>
      <c r="L5" s="18">
        <f>D5+F5+H5+J5</f>
        <v>5000</v>
      </c>
    </row>
    <row r="6" spans="2:12">
      <c r="C6" s="21"/>
      <c r="D6" s="17"/>
      <c r="E6" s="21"/>
      <c r="F6" s="17"/>
      <c r="G6" s="21"/>
      <c r="H6" s="17"/>
      <c r="I6" s="21"/>
      <c r="J6" s="17"/>
      <c r="K6" s="21"/>
      <c r="L6" s="17"/>
    </row>
    <row r="7" spans="2:12">
      <c r="B7" s="3" t="s">
        <v>2</v>
      </c>
      <c r="C7" s="24">
        <f>SUM(C8:C15)</f>
        <v>3150</v>
      </c>
      <c r="D7" s="24">
        <f t="shared" ref="D7" si="0">SUM(D8:D15)</f>
        <v>1500</v>
      </c>
      <c r="E7" s="24">
        <f>SUM(E8:E15)</f>
        <v>3150</v>
      </c>
      <c r="F7" s="24">
        <f t="shared" ref="F7" si="1">SUM(F8:F15)</f>
        <v>0</v>
      </c>
      <c r="G7" s="24">
        <f>SUM(G8:G15)</f>
        <v>3150</v>
      </c>
      <c r="H7" s="24">
        <f t="shared" ref="H7" si="2">SUM(H8:H15)</f>
        <v>0</v>
      </c>
      <c r="I7" s="24">
        <f>SUM(I8:I15)</f>
        <v>3150</v>
      </c>
      <c r="J7" s="24">
        <f t="shared" ref="J7" si="3">SUM(J8:J15)</f>
        <v>0</v>
      </c>
      <c r="K7" s="24">
        <f t="shared" ref="K7:L15" si="4">C7+E7+G7+I7</f>
        <v>12600</v>
      </c>
      <c r="L7" s="17">
        <f t="shared" si="4"/>
        <v>1500</v>
      </c>
    </row>
    <row r="8" spans="2:12">
      <c r="B8" s="5" t="s">
        <v>5</v>
      </c>
      <c r="C8" s="22">
        <v>1000</v>
      </c>
      <c r="D8" s="18">
        <f>SUMIF(TBLANÇAMENTOS[[#All],[CÓDIGO]],C$2&amp;$B8,TBLANÇAMENTOS[[#All],[CRÉDITO]]) - SUMIF(TBLANÇAMENTOS[[#All],[CÓDIGO]],C$2&amp;$B8,TBLANÇAMENTOS[[#All],[DÉBITO]]) *-1</f>
        <v>1500</v>
      </c>
      <c r="E8" s="22">
        <v>1000</v>
      </c>
      <c r="F8" s="18">
        <f>SUMIF(TBLANÇAMENTOS[[#All],[CÓDIGO]],E$2&amp;$B8,TBLANÇAMENTOS[[#All],[CRÉDITO]]) - SUMIF(TBLANÇAMENTOS[[#All],[CÓDIGO]],E$2&amp;$B8,TBLANÇAMENTOS[[#All],[DÉBITO]]) *-1</f>
        <v>0</v>
      </c>
      <c r="G8" s="22">
        <v>1000</v>
      </c>
      <c r="H8" s="18">
        <f>SUMIF(TBLANÇAMENTOS[[#All],[CÓDIGO]],G$2&amp;$B8,TBLANÇAMENTOS[[#All],[CRÉDITO]]) - SUMIF(TBLANÇAMENTOS[[#All],[CÓDIGO]],G$2&amp;$B8,TBLANÇAMENTOS[[#All],[DÉBITO]]) *-1</f>
        <v>0</v>
      </c>
      <c r="I8" s="22">
        <v>1000</v>
      </c>
      <c r="J8" s="18">
        <f>SUMIF(TBLANÇAMENTOS[[#All],[CÓDIGO]],I$2&amp;$B8,TBLANÇAMENTOS[[#All],[CRÉDITO]]) - SUMIF(TBLANÇAMENTOS[[#All],[CÓDIGO]],I$2&amp;$B8,TBLANÇAMENTOS[[#All],[DÉBITO]]) *-1</f>
        <v>0</v>
      </c>
      <c r="K8" s="22">
        <f t="shared" si="4"/>
        <v>4000</v>
      </c>
      <c r="L8" s="17">
        <f t="shared" si="4"/>
        <v>1500</v>
      </c>
    </row>
    <row r="9" spans="2:12">
      <c r="B9" s="5" t="s">
        <v>7</v>
      </c>
      <c r="C9" s="22">
        <v>50</v>
      </c>
      <c r="D9" s="18">
        <f>SUMIF(TBLANÇAMENTOS[[#All],[CÓDIGO]],C$2&amp;$B9,TBLANÇAMENTOS[[#All],[CRÉDITO]]) - SUMIF(TBLANÇAMENTOS[[#All],[CÓDIGO]],C$2&amp;$B9,TBLANÇAMENTOS[[#All],[DÉBITO]]) *-1</f>
        <v>0</v>
      </c>
      <c r="E9" s="22">
        <v>50</v>
      </c>
      <c r="F9" s="18">
        <f>SUMIF(TBLANÇAMENTOS[[#All],[CÓDIGO]],E$2&amp;$B9,TBLANÇAMENTOS[[#All],[CRÉDITO]]) - SUMIF(TBLANÇAMENTOS[[#All],[CÓDIGO]],E$2&amp;$B9,TBLANÇAMENTOS[[#All],[DÉBITO]]) *-1</f>
        <v>0</v>
      </c>
      <c r="G9" s="22">
        <v>50</v>
      </c>
      <c r="H9" s="18">
        <f>SUMIF(TBLANÇAMENTOS[[#All],[CÓDIGO]],G$2&amp;$B9,TBLANÇAMENTOS[[#All],[CRÉDITO]]) - SUMIF(TBLANÇAMENTOS[[#All],[CÓDIGO]],G$2&amp;$B9,TBLANÇAMENTOS[[#All],[DÉBITO]]) *-1</f>
        <v>0</v>
      </c>
      <c r="I9" s="22">
        <v>50</v>
      </c>
      <c r="J9" s="18">
        <f>SUMIF(TBLANÇAMENTOS[[#All],[CÓDIGO]],I$2&amp;$B9,TBLANÇAMENTOS[[#All],[CRÉDITO]]) - SUMIF(TBLANÇAMENTOS[[#All],[CÓDIGO]],I$2&amp;$B9,TBLANÇAMENTOS[[#All],[DÉBITO]]) *-1</f>
        <v>0</v>
      </c>
      <c r="K9" s="22">
        <f t="shared" si="4"/>
        <v>200</v>
      </c>
      <c r="L9" s="17">
        <f t="shared" si="4"/>
        <v>0</v>
      </c>
    </row>
    <row r="10" spans="2:12">
      <c r="B10" s="5" t="s">
        <v>9</v>
      </c>
      <c r="C10" s="22">
        <v>150</v>
      </c>
      <c r="D10" s="18">
        <f>SUMIF(TBLANÇAMENTOS[[#All],[CÓDIGO]],C$2&amp;$B10,TBLANÇAMENTOS[[#All],[CRÉDITO]]) - SUMIF(TBLANÇAMENTOS[[#All],[CÓDIGO]],C$2&amp;$B10,TBLANÇAMENTOS[[#All],[DÉBITO]]) *-1</f>
        <v>0</v>
      </c>
      <c r="E10" s="22">
        <v>150</v>
      </c>
      <c r="F10" s="18">
        <f>SUMIF(TBLANÇAMENTOS[[#All],[CÓDIGO]],E$2&amp;$B10,TBLANÇAMENTOS[[#All],[CRÉDITO]]) - SUMIF(TBLANÇAMENTOS[[#All],[CÓDIGO]],E$2&amp;$B10,TBLANÇAMENTOS[[#All],[DÉBITO]]) *-1</f>
        <v>0</v>
      </c>
      <c r="G10" s="22">
        <v>150</v>
      </c>
      <c r="H10" s="18">
        <f>SUMIF(TBLANÇAMENTOS[[#All],[CÓDIGO]],G$2&amp;$B10,TBLANÇAMENTOS[[#All],[CRÉDITO]]) - SUMIF(TBLANÇAMENTOS[[#All],[CÓDIGO]],G$2&amp;$B10,TBLANÇAMENTOS[[#All],[DÉBITO]]) *-1</f>
        <v>0</v>
      </c>
      <c r="I10" s="22">
        <v>150</v>
      </c>
      <c r="J10" s="18">
        <f>SUMIF(TBLANÇAMENTOS[[#All],[CÓDIGO]],I$2&amp;$B10,TBLANÇAMENTOS[[#All],[CRÉDITO]]) - SUMIF(TBLANÇAMENTOS[[#All],[CÓDIGO]],I$2&amp;$B10,TBLANÇAMENTOS[[#All],[DÉBITO]]) *-1</f>
        <v>0</v>
      </c>
      <c r="K10" s="22">
        <f t="shared" si="4"/>
        <v>600</v>
      </c>
      <c r="L10" s="17">
        <f t="shared" si="4"/>
        <v>0</v>
      </c>
    </row>
    <row r="11" spans="2:12">
      <c r="B11" s="5" t="s">
        <v>11</v>
      </c>
      <c r="C11" s="22">
        <v>150</v>
      </c>
      <c r="D11" s="18">
        <f>SUMIF(TBLANÇAMENTOS[[#All],[CÓDIGO]],C$2&amp;$B11,TBLANÇAMENTOS[[#All],[CRÉDITO]]) - SUMIF(TBLANÇAMENTOS[[#All],[CÓDIGO]],C$2&amp;$B11,TBLANÇAMENTOS[[#All],[DÉBITO]]) *-1</f>
        <v>0</v>
      </c>
      <c r="E11" s="22">
        <v>150</v>
      </c>
      <c r="F11" s="18">
        <f>SUMIF(TBLANÇAMENTOS[[#All],[CÓDIGO]],E$2&amp;$B11,TBLANÇAMENTOS[[#All],[CRÉDITO]]) - SUMIF(TBLANÇAMENTOS[[#All],[CÓDIGO]],E$2&amp;$B11,TBLANÇAMENTOS[[#All],[DÉBITO]]) *-1</f>
        <v>0</v>
      </c>
      <c r="G11" s="22">
        <v>150</v>
      </c>
      <c r="H11" s="18">
        <f>SUMIF(TBLANÇAMENTOS[[#All],[CÓDIGO]],G$2&amp;$B11,TBLANÇAMENTOS[[#All],[CRÉDITO]]) - SUMIF(TBLANÇAMENTOS[[#All],[CÓDIGO]],G$2&amp;$B11,TBLANÇAMENTOS[[#All],[DÉBITO]]) *-1</f>
        <v>0</v>
      </c>
      <c r="I11" s="22">
        <v>150</v>
      </c>
      <c r="J11" s="18">
        <f>SUMIF(TBLANÇAMENTOS[[#All],[CÓDIGO]],I$2&amp;$B11,TBLANÇAMENTOS[[#All],[CRÉDITO]]) - SUMIF(TBLANÇAMENTOS[[#All],[CÓDIGO]],I$2&amp;$B11,TBLANÇAMENTOS[[#All],[DÉBITO]]) *-1</f>
        <v>0</v>
      </c>
      <c r="K11" s="22">
        <f t="shared" si="4"/>
        <v>600</v>
      </c>
      <c r="L11" s="17">
        <f t="shared" si="4"/>
        <v>0</v>
      </c>
    </row>
    <row r="12" spans="2:12">
      <c r="B12" s="5" t="s">
        <v>13</v>
      </c>
      <c r="C12" s="22">
        <v>500</v>
      </c>
      <c r="D12" s="18">
        <f>SUMIF(TBLANÇAMENTOS[[#All],[CÓDIGO]],C$2&amp;$B12,TBLANÇAMENTOS[[#All],[CRÉDITO]]) - SUMIF(TBLANÇAMENTOS[[#All],[CÓDIGO]],C$2&amp;$B12,TBLANÇAMENTOS[[#All],[DÉBITO]]) *-1</f>
        <v>0</v>
      </c>
      <c r="E12" s="22">
        <v>500</v>
      </c>
      <c r="F12" s="18">
        <f>SUMIF(TBLANÇAMENTOS[[#All],[CÓDIGO]],E$2&amp;$B12,TBLANÇAMENTOS[[#All],[CRÉDITO]]) - SUMIF(TBLANÇAMENTOS[[#All],[CÓDIGO]],E$2&amp;$B12,TBLANÇAMENTOS[[#All],[DÉBITO]]) *-1</f>
        <v>0</v>
      </c>
      <c r="G12" s="22">
        <v>500</v>
      </c>
      <c r="H12" s="18">
        <f>SUMIF(TBLANÇAMENTOS[[#All],[CÓDIGO]],G$2&amp;$B12,TBLANÇAMENTOS[[#All],[CRÉDITO]]) - SUMIF(TBLANÇAMENTOS[[#All],[CÓDIGO]],G$2&amp;$B12,TBLANÇAMENTOS[[#All],[DÉBITO]]) *-1</f>
        <v>0</v>
      </c>
      <c r="I12" s="22">
        <v>500</v>
      </c>
      <c r="J12" s="18">
        <f>SUMIF(TBLANÇAMENTOS[[#All],[CÓDIGO]],I$2&amp;$B12,TBLANÇAMENTOS[[#All],[CRÉDITO]]) - SUMIF(TBLANÇAMENTOS[[#All],[CÓDIGO]],I$2&amp;$B12,TBLANÇAMENTOS[[#All],[DÉBITO]]) *-1</f>
        <v>0</v>
      </c>
      <c r="K12" s="22">
        <f t="shared" si="4"/>
        <v>2000</v>
      </c>
      <c r="L12" s="17">
        <f t="shared" si="4"/>
        <v>0</v>
      </c>
    </row>
    <row r="13" spans="2:12">
      <c r="B13" s="5" t="s">
        <v>15</v>
      </c>
      <c r="C13" s="22">
        <v>500</v>
      </c>
      <c r="D13" s="18">
        <f>SUMIF(TBLANÇAMENTOS[[#All],[CÓDIGO]],C$2&amp;$B13,TBLANÇAMENTOS[[#All],[CRÉDITO]]) - SUMIF(TBLANÇAMENTOS[[#All],[CÓDIGO]],C$2&amp;$B13,TBLANÇAMENTOS[[#All],[DÉBITO]]) *-1</f>
        <v>0</v>
      </c>
      <c r="E13" s="22">
        <v>500</v>
      </c>
      <c r="F13" s="18">
        <f>SUMIF(TBLANÇAMENTOS[[#All],[CÓDIGO]],E$2&amp;$B13,TBLANÇAMENTOS[[#All],[CRÉDITO]]) - SUMIF(TBLANÇAMENTOS[[#All],[CÓDIGO]],E$2&amp;$B13,TBLANÇAMENTOS[[#All],[DÉBITO]]) *-1</f>
        <v>0</v>
      </c>
      <c r="G13" s="22">
        <v>500</v>
      </c>
      <c r="H13" s="18">
        <f>SUMIF(TBLANÇAMENTOS[[#All],[CÓDIGO]],G$2&amp;$B13,TBLANÇAMENTOS[[#All],[CRÉDITO]]) - SUMIF(TBLANÇAMENTOS[[#All],[CÓDIGO]],G$2&amp;$B13,TBLANÇAMENTOS[[#All],[DÉBITO]]) *-1</f>
        <v>0</v>
      </c>
      <c r="I13" s="22">
        <v>500</v>
      </c>
      <c r="J13" s="18">
        <f>SUMIF(TBLANÇAMENTOS[[#All],[CÓDIGO]],I$2&amp;$B13,TBLANÇAMENTOS[[#All],[CRÉDITO]]) - SUMIF(TBLANÇAMENTOS[[#All],[CÓDIGO]],I$2&amp;$B13,TBLANÇAMENTOS[[#All],[DÉBITO]]) *-1</f>
        <v>0</v>
      </c>
      <c r="K13" s="22">
        <f t="shared" si="4"/>
        <v>2000</v>
      </c>
      <c r="L13" s="17">
        <f t="shared" si="4"/>
        <v>0</v>
      </c>
    </row>
    <row r="14" spans="2:12">
      <c r="B14" s="5" t="s">
        <v>16</v>
      </c>
      <c r="C14" s="22">
        <v>500</v>
      </c>
      <c r="D14" s="18">
        <f>SUMIF(TBLANÇAMENTOS[[#All],[CÓDIGO]],C$2&amp;$B14,TBLANÇAMENTOS[[#All],[CRÉDITO]]) - SUMIF(TBLANÇAMENTOS[[#All],[CÓDIGO]],C$2&amp;$B14,TBLANÇAMENTOS[[#All],[DÉBITO]]) *-1</f>
        <v>0</v>
      </c>
      <c r="E14" s="22">
        <v>500</v>
      </c>
      <c r="F14" s="18">
        <f>SUMIF(TBLANÇAMENTOS[[#All],[CÓDIGO]],E$2&amp;$B14,TBLANÇAMENTOS[[#All],[CRÉDITO]]) - SUMIF(TBLANÇAMENTOS[[#All],[CÓDIGO]],E$2&amp;$B14,TBLANÇAMENTOS[[#All],[DÉBITO]]) *-1</f>
        <v>0</v>
      </c>
      <c r="G14" s="22">
        <v>500</v>
      </c>
      <c r="H14" s="18">
        <f>SUMIF(TBLANÇAMENTOS[[#All],[CÓDIGO]],G$2&amp;$B14,TBLANÇAMENTOS[[#All],[CRÉDITO]]) - SUMIF(TBLANÇAMENTOS[[#All],[CÓDIGO]],G$2&amp;$B14,TBLANÇAMENTOS[[#All],[DÉBITO]]) *-1</f>
        <v>0</v>
      </c>
      <c r="I14" s="22">
        <v>500</v>
      </c>
      <c r="J14" s="18">
        <f>SUMIF(TBLANÇAMENTOS[[#All],[CÓDIGO]],I$2&amp;$B14,TBLANÇAMENTOS[[#All],[CRÉDITO]]) - SUMIF(TBLANÇAMENTOS[[#All],[CÓDIGO]],I$2&amp;$B14,TBLANÇAMENTOS[[#All],[DÉBITO]]) *-1</f>
        <v>0</v>
      </c>
      <c r="K14" s="22">
        <f t="shared" si="4"/>
        <v>2000</v>
      </c>
      <c r="L14" s="17">
        <f t="shared" si="4"/>
        <v>0</v>
      </c>
    </row>
    <row r="15" spans="2:12">
      <c r="B15" s="5" t="s">
        <v>17</v>
      </c>
      <c r="C15" s="22">
        <v>300</v>
      </c>
      <c r="D15" s="18">
        <f>SUMIF(TBLANÇAMENTOS[[#All],[CÓDIGO]],C$2&amp;$B15,TBLANÇAMENTOS[[#All],[CRÉDITO]]) - SUMIF(TBLANÇAMENTOS[[#All],[CÓDIGO]],C$2&amp;$B15,TBLANÇAMENTOS[[#All],[DÉBITO]]) *-1</f>
        <v>0</v>
      </c>
      <c r="E15" s="22">
        <v>300</v>
      </c>
      <c r="F15" s="18">
        <f>SUMIF(TBLANÇAMENTOS[[#All],[CÓDIGO]],E$2&amp;$B15,TBLANÇAMENTOS[[#All],[CRÉDITO]]) - SUMIF(TBLANÇAMENTOS[[#All],[CÓDIGO]],E$2&amp;$B15,TBLANÇAMENTOS[[#All],[DÉBITO]]) *-1</f>
        <v>0</v>
      </c>
      <c r="G15" s="22">
        <v>300</v>
      </c>
      <c r="H15" s="18">
        <f>SUMIF(TBLANÇAMENTOS[[#All],[CÓDIGO]],G$2&amp;$B15,TBLANÇAMENTOS[[#All],[CRÉDITO]]) - SUMIF(TBLANÇAMENTOS[[#All],[CÓDIGO]],G$2&amp;$B15,TBLANÇAMENTOS[[#All],[DÉBITO]]) *-1</f>
        <v>0</v>
      </c>
      <c r="I15" s="22">
        <v>300</v>
      </c>
      <c r="J15" s="18">
        <f>SUMIF(TBLANÇAMENTOS[[#All],[CÓDIGO]],I$2&amp;$B15,TBLANÇAMENTOS[[#All],[CRÉDITO]]) - SUMIF(TBLANÇAMENTOS[[#All],[CÓDIGO]],I$2&amp;$B15,TBLANÇAMENTOS[[#All],[DÉBITO]]) *-1</f>
        <v>0</v>
      </c>
      <c r="K15" s="22">
        <f t="shared" si="4"/>
        <v>1200</v>
      </c>
      <c r="L15" s="17">
        <f t="shared" si="4"/>
        <v>0</v>
      </c>
    </row>
    <row r="16" spans="2:12">
      <c r="C16" s="23"/>
      <c r="D16" s="19"/>
      <c r="E16" s="23"/>
      <c r="F16" s="19"/>
      <c r="G16" s="23"/>
      <c r="H16" s="19"/>
      <c r="I16" s="23"/>
      <c r="J16" s="19"/>
      <c r="K16" s="23"/>
      <c r="L16" s="17"/>
    </row>
    <row r="17" spans="2:12">
      <c r="B17" s="4" t="s">
        <v>3</v>
      </c>
      <c r="C17" s="25">
        <f>SUM(C18:C22)</f>
        <v>950</v>
      </c>
      <c r="D17" s="25">
        <f t="shared" ref="D17" si="5">SUM(D18:D22)</f>
        <v>200</v>
      </c>
      <c r="E17" s="25">
        <f>SUM(E18:E22)</f>
        <v>950</v>
      </c>
      <c r="F17" s="25">
        <f t="shared" ref="F17" si="6">SUM(F18:F22)</f>
        <v>0</v>
      </c>
      <c r="G17" s="25">
        <f>SUM(G18:G22)</f>
        <v>950</v>
      </c>
      <c r="H17" s="25">
        <f t="shared" ref="H17" si="7">SUM(H18:H22)</f>
        <v>0</v>
      </c>
      <c r="I17" s="25">
        <f>SUM(I18:I22)</f>
        <v>950</v>
      </c>
      <c r="J17" s="25">
        <f t="shared" ref="J17" si="8">SUM(J18:J22)</f>
        <v>0</v>
      </c>
      <c r="K17" s="25">
        <f t="shared" ref="K17:L22" si="9">C17+E17+G17+I17</f>
        <v>3800</v>
      </c>
      <c r="L17" s="17">
        <f t="shared" si="9"/>
        <v>200</v>
      </c>
    </row>
    <row r="18" spans="2:12">
      <c r="B18" s="5" t="s">
        <v>6</v>
      </c>
      <c r="C18" s="22">
        <v>200</v>
      </c>
      <c r="D18" s="18">
        <f>SUMIF(TBLANÇAMENTOS[[#All],[CÓDIGO]],C$2&amp;$B18,TBLANÇAMENTOS[[#All],[CRÉDITO]]) - SUMIF(TBLANÇAMENTOS[[#All],[CÓDIGO]],C$2&amp;$B18,TBLANÇAMENTOS[[#All],[DÉBITO]]) *-1</f>
        <v>200</v>
      </c>
      <c r="E18" s="22">
        <v>200</v>
      </c>
      <c r="F18" s="18">
        <f>SUMIF(TBLANÇAMENTOS[[#All],[CÓDIGO]],E$2&amp;$B18,TBLANÇAMENTOS[[#All],[CRÉDITO]]) - SUMIF(TBLANÇAMENTOS[[#All],[CÓDIGO]],E$2&amp;$B18,TBLANÇAMENTOS[[#All],[DÉBITO]]) *-1</f>
        <v>0</v>
      </c>
      <c r="G18" s="22">
        <v>200</v>
      </c>
      <c r="H18" s="18">
        <f>SUMIF(TBLANÇAMENTOS[[#All],[CÓDIGO]],G$2&amp;$B18,TBLANÇAMENTOS[[#All],[CRÉDITO]]) - SUMIF(TBLANÇAMENTOS[[#All],[CÓDIGO]],G$2&amp;$B18,TBLANÇAMENTOS[[#All],[DÉBITO]]) *-1</f>
        <v>0</v>
      </c>
      <c r="I18" s="22">
        <v>200</v>
      </c>
      <c r="J18" s="18">
        <f>SUMIF(TBLANÇAMENTOS[[#All],[CÓDIGO]],I$2&amp;$B18,TBLANÇAMENTOS[[#All],[CRÉDITO]]) - SUMIF(TBLANÇAMENTOS[[#All],[CÓDIGO]],I$2&amp;$B18,TBLANÇAMENTOS[[#All],[DÉBITO]]) *-1</f>
        <v>0</v>
      </c>
      <c r="K18" s="22">
        <f t="shared" si="9"/>
        <v>800</v>
      </c>
      <c r="L18" s="17">
        <f t="shared" si="9"/>
        <v>200</v>
      </c>
    </row>
    <row r="19" spans="2:12">
      <c r="B19" s="5" t="s">
        <v>8</v>
      </c>
      <c r="C19" s="22">
        <v>200</v>
      </c>
      <c r="D19" s="18">
        <f>SUMIF(TBLANÇAMENTOS[[#All],[CÓDIGO]],C$2&amp;$B19,TBLANÇAMENTOS[[#All],[CRÉDITO]]) - SUMIF(TBLANÇAMENTOS[[#All],[CÓDIGO]],C$2&amp;$B19,TBLANÇAMENTOS[[#All],[DÉBITO]]) *-1</f>
        <v>0</v>
      </c>
      <c r="E19" s="22">
        <v>200</v>
      </c>
      <c r="F19" s="18">
        <f>SUMIF(TBLANÇAMENTOS[[#All],[CÓDIGO]],E$2&amp;$B19,TBLANÇAMENTOS[[#All],[CRÉDITO]]) - SUMIF(TBLANÇAMENTOS[[#All],[CÓDIGO]],E$2&amp;$B19,TBLANÇAMENTOS[[#All],[DÉBITO]]) *-1</f>
        <v>0</v>
      </c>
      <c r="G19" s="22">
        <v>200</v>
      </c>
      <c r="H19" s="18">
        <f>SUMIF(TBLANÇAMENTOS[[#All],[CÓDIGO]],G$2&amp;$B19,TBLANÇAMENTOS[[#All],[CRÉDITO]]) - SUMIF(TBLANÇAMENTOS[[#All],[CÓDIGO]],G$2&amp;$B19,TBLANÇAMENTOS[[#All],[DÉBITO]]) *-1</f>
        <v>0</v>
      </c>
      <c r="I19" s="22">
        <v>200</v>
      </c>
      <c r="J19" s="18">
        <f>SUMIF(TBLANÇAMENTOS[[#All],[CÓDIGO]],I$2&amp;$B19,TBLANÇAMENTOS[[#All],[CRÉDITO]]) - SUMIF(TBLANÇAMENTOS[[#All],[CÓDIGO]],I$2&amp;$B19,TBLANÇAMENTOS[[#All],[DÉBITO]]) *-1</f>
        <v>0</v>
      </c>
      <c r="K19" s="22">
        <f t="shared" si="9"/>
        <v>800</v>
      </c>
      <c r="L19" s="17">
        <f t="shared" si="9"/>
        <v>0</v>
      </c>
    </row>
    <row r="20" spans="2:12">
      <c r="B20" s="5" t="s">
        <v>10</v>
      </c>
      <c r="C20" s="22">
        <v>50</v>
      </c>
      <c r="D20" s="18">
        <f>SUMIF(TBLANÇAMENTOS[[#All],[CÓDIGO]],C$2&amp;$B20,TBLANÇAMENTOS[[#All],[CRÉDITO]]) - SUMIF(TBLANÇAMENTOS[[#All],[CÓDIGO]],C$2&amp;$B20,TBLANÇAMENTOS[[#All],[DÉBITO]]) *-1</f>
        <v>0</v>
      </c>
      <c r="E20" s="22">
        <v>50</v>
      </c>
      <c r="F20" s="18">
        <f>SUMIF(TBLANÇAMENTOS[[#All],[CÓDIGO]],E$2&amp;$B20,TBLANÇAMENTOS[[#All],[CRÉDITO]]) - SUMIF(TBLANÇAMENTOS[[#All],[CÓDIGO]],E$2&amp;$B20,TBLANÇAMENTOS[[#All],[DÉBITO]]) *-1</f>
        <v>0</v>
      </c>
      <c r="G20" s="22">
        <v>50</v>
      </c>
      <c r="H20" s="18">
        <f>SUMIF(TBLANÇAMENTOS[[#All],[CÓDIGO]],G$2&amp;$B20,TBLANÇAMENTOS[[#All],[CRÉDITO]]) - SUMIF(TBLANÇAMENTOS[[#All],[CÓDIGO]],G$2&amp;$B20,TBLANÇAMENTOS[[#All],[DÉBITO]]) *-1</f>
        <v>0</v>
      </c>
      <c r="I20" s="22">
        <v>50</v>
      </c>
      <c r="J20" s="18">
        <f>SUMIF(TBLANÇAMENTOS[[#All],[CÓDIGO]],I$2&amp;$B20,TBLANÇAMENTOS[[#All],[CRÉDITO]]) - SUMIF(TBLANÇAMENTOS[[#All],[CÓDIGO]],I$2&amp;$B20,TBLANÇAMENTOS[[#All],[DÉBITO]]) *-1</f>
        <v>0</v>
      </c>
      <c r="K20" s="22">
        <f t="shared" si="9"/>
        <v>200</v>
      </c>
      <c r="L20" s="17">
        <f t="shared" si="9"/>
        <v>0</v>
      </c>
    </row>
    <row r="21" spans="2:12">
      <c r="B21" s="5" t="s">
        <v>12</v>
      </c>
      <c r="C21" s="22">
        <v>200</v>
      </c>
      <c r="D21" s="18">
        <f>SUMIF(TBLANÇAMENTOS[[#All],[CÓDIGO]],C$2&amp;$B21,TBLANÇAMENTOS[[#All],[CRÉDITO]]) - SUMIF(TBLANÇAMENTOS[[#All],[CÓDIGO]],C$2&amp;$B21,TBLANÇAMENTOS[[#All],[DÉBITO]]) *-1</f>
        <v>0</v>
      </c>
      <c r="E21" s="22">
        <v>200</v>
      </c>
      <c r="F21" s="18">
        <f>SUMIF(TBLANÇAMENTOS[[#All],[CÓDIGO]],E$2&amp;$B21,TBLANÇAMENTOS[[#All],[CRÉDITO]]) - SUMIF(TBLANÇAMENTOS[[#All],[CÓDIGO]],E$2&amp;$B21,TBLANÇAMENTOS[[#All],[DÉBITO]]) *-1</f>
        <v>0</v>
      </c>
      <c r="G21" s="22">
        <v>200</v>
      </c>
      <c r="H21" s="18">
        <f>SUMIF(TBLANÇAMENTOS[[#All],[CÓDIGO]],G$2&amp;$B21,TBLANÇAMENTOS[[#All],[CRÉDITO]]) - SUMIF(TBLANÇAMENTOS[[#All],[CÓDIGO]],G$2&amp;$B21,TBLANÇAMENTOS[[#All],[DÉBITO]]) *-1</f>
        <v>0</v>
      </c>
      <c r="I21" s="22">
        <v>200</v>
      </c>
      <c r="J21" s="18">
        <f>SUMIF(TBLANÇAMENTOS[[#All],[CÓDIGO]],I$2&amp;$B21,TBLANÇAMENTOS[[#All],[CRÉDITO]]) - SUMIF(TBLANÇAMENTOS[[#All],[CÓDIGO]],I$2&amp;$B21,TBLANÇAMENTOS[[#All],[DÉBITO]]) *-1</f>
        <v>0</v>
      </c>
      <c r="K21" s="22">
        <f t="shared" si="9"/>
        <v>800</v>
      </c>
      <c r="L21" s="17">
        <f t="shared" si="9"/>
        <v>0</v>
      </c>
    </row>
    <row r="22" spans="2:12">
      <c r="B22" s="5" t="s">
        <v>14</v>
      </c>
      <c r="C22" s="22">
        <v>300</v>
      </c>
      <c r="D22" s="18">
        <f>SUMIF(TBLANÇAMENTOS[[#All],[CÓDIGO]],C$2&amp;$B22,TBLANÇAMENTOS[[#All],[CRÉDITO]]) - SUMIF(TBLANÇAMENTOS[[#All],[CÓDIGO]],C$2&amp;$B22,TBLANÇAMENTOS[[#All],[DÉBITO]]) *-1</f>
        <v>0</v>
      </c>
      <c r="E22" s="22">
        <v>300</v>
      </c>
      <c r="F22" s="18">
        <f>SUMIF(TBLANÇAMENTOS[[#All],[CÓDIGO]],E$2&amp;$B22,TBLANÇAMENTOS[[#All],[CRÉDITO]]) - SUMIF(TBLANÇAMENTOS[[#All],[CÓDIGO]],E$2&amp;$B22,TBLANÇAMENTOS[[#All],[DÉBITO]]) *-1</f>
        <v>0</v>
      </c>
      <c r="G22" s="22">
        <v>300</v>
      </c>
      <c r="H22" s="18">
        <f>SUMIF(TBLANÇAMENTOS[[#All],[CÓDIGO]],G$2&amp;$B22,TBLANÇAMENTOS[[#All],[CRÉDITO]]) - SUMIF(TBLANÇAMENTOS[[#All],[CÓDIGO]],G$2&amp;$B22,TBLANÇAMENTOS[[#All],[DÉBITO]]) *-1</f>
        <v>0</v>
      </c>
      <c r="I22" s="22">
        <v>300</v>
      </c>
      <c r="J22" s="18">
        <f>SUMIF(TBLANÇAMENTOS[[#All],[CÓDIGO]],I$2&amp;$B22,TBLANÇAMENTOS[[#All],[CRÉDITO]]) - SUMIF(TBLANÇAMENTOS[[#All],[CÓDIGO]],I$2&amp;$B22,TBLANÇAMENTOS[[#All],[DÉBITO]]) *-1</f>
        <v>0</v>
      </c>
      <c r="K22" s="22">
        <f t="shared" si="9"/>
        <v>1200</v>
      </c>
      <c r="L22" s="17">
        <f t="shared" si="9"/>
        <v>0</v>
      </c>
    </row>
    <row r="23" spans="2:12">
      <c r="C23" s="23"/>
      <c r="D23" s="19"/>
      <c r="E23" s="23"/>
      <c r="F23" s="19"/>
      <c r="G23" s="23"/>
      <c r="H23" s="19"/>
      <c r="I23" s="23"/>
      <c r="J23" s="19"/>
      <c r="K23" s="23"/>
      <c r="L23" s="19"/>
    </row>
    <row r="24" spans="2:12">
      <c r="B24" s="20" t="s">
        <v>32</v>
      </c>
      <c r="C24" s="26">
        <f>C5-C7-C17</f>
        <v>900</v>
      </c>
      <c r="D24" s="26">
        <f t="shared" ref="D24:J24" si="10">D5-D7-D17</f>
        <v>3300</v>
      </c>
      <c r="E24" s="26">
        <f t="shared" si="10"/>
        <v>900</v>
      </c>
      <c r="F24" s="26">
        <f t="shared" si="10"/>
        <v>0</v>
      </c>
      <c r="G24" s="26">
        <f t="shared" si="10"/>
        <v>900</v>
      </c>
      <c r="H24" s="26">
        <f t="shared" si="10"/>
        <v>0</v>
      </c>
      <c r="I24" s="26">
        <f t="shared" si="10"/>
        <v>900</v>
      </c>
      <c r="J24" s="26">
        <f t="shared" si="10"/>
        <v>0</v>
      </c>
      <c r="K24" s="26">
        <f>K5-K7-K17</f>
        <v>3600</v>
      </c>
      <c r="L24" s="26">
        <f>L5-L7-L17</f>
        <v>3300</v>
      </c>
    </row>
  </sheetData>
  <mergeCells count="5">
    <mergeCell ref="C2:D2"/>
    <mergeCell ref="E2:F2"/>
    <mergeCell ref="G2:H2"/>
    <mergeCell ref="I2:J2"/>
    <mergeCell ref="K2:L2"/>
  </mergeCells>
  <conditionalFormatting sqref="C8:C15 C18:C22">
    <cfRule type="dataBar" priority="8">
      <dataBar>
        <cfvo type="min" val="0"/>
        <cfvo type="max" val="0"/>
        <color rgb="FF008AEF"/>
      </dataBar>
    </cfRule>
  </conditionalFormatting>
  <conditionalFormatting sqref="D8:D15 D18:D22">
    <cfRule type="dataBar" priority="7">
      <dataBar>
        <cfvo type="min" val="0"/>
        <cfvo type="max" val="0"/>
        <color rgb="FFFF555A"/>
      </dataBar>
    </cfRule>
  </conditionalFormatting>
  <conditionalFormatting sqref="E8:E15 E18:E22">
    <cfRule type="dataBar" priority="6">
      <dataBar>
        <cfvo type="min" val="0"/>
        <cfvo type="max" val="0"/>
        <color rgb="FF008AEF"/>
      </dataBar>
    </cfRule>
  </conditionalFormatting>
  <conditionalFormatting sqref="F8:F15 F18:F22">
    <cfRule type="dataBar" priority="5">
      <dataBar>
        <cfvo type="min" val="0"/>
        <cfvo type="max" val="0"/>
        <color rgb="FFFF555A"/>
      </dataBar>
    </cfRule>
  </conditionalFormatting>
  <conditionalFormatting sqref="G8:G15 G18:G22">
    <cfRule type="dataBar" priority="4">
      <dataBar>
        <cfvo type="min" val="0"/>
        <cfvo type="max" val="0"/>
        <color rgb="FF008AEF"/>
      </dataBar>
    </cfRule>
  </conditionalFormatting>
  <conditionalFormatting sqref="H8:H15 H18:H22">
    <cfRule type="dataBar" priority="3">
      <dataBar>
        <cfvo type="min" val="0"/>
        <cfvo type="max" val="0"/>
        <color rgb="FFFF555A"/>
      </dataBar>
    </cfRule>
  </conditionalFormatting>
  <conditionalFormatting sqref="I8:I15 I18:I22">
    <cfRule type="dataBar" priority="2">
      <dataBar>
        <cfvo type="min" val="0"/>
        <cfvo type="max" val="0"/>
        <color rgb="FF008AEF"/>
      </dataBar>
    </cfRule>
  </conditionalFormatting>
  <conditionalFormatting sqref="J8:J15 J18:J22">
    <cfRule type="dataBar" priority="1">
      <dataBar>
        <cfvo type="min" val="0"/>
        <cfvo type="max" val="0"/>
        <color rgb="FFFF555A"/>
      </dataBar>
    </cfRule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>
  <dimension ref="A3:B23"/>
  <sheetViews>
    <sheetView showGridLines="0" zoomScale="85" zoomScaleNormal="85" workbookViewId="0">
      <selection activeCell="M9" sqref="M9"/>
    </sheetView>
  </sheetViews>
  <sheetFormatPr defaultRowHeight="15"/>
  <cols>
    <col min="1" max="1" width="19.85546875" style="28" bestFit="1" customWidth="1"/>
    <col min="2" max="16384" width="9.140625" style="28"/>
  </cols>
  <sheetData>
    <row r="3" spans="1:2">
      <c r="A3" s="27" t="s">
        <v>1</v>
      </c>
    </row>
    <row r="4" spans="1:2">
      <c r="A4" s="29" t="s">
        <v>4</v>
      </c>
      <c r="B4" s="28">
        <f>SUMIF(TBLANÇAMENTOS[[#All],[CONTA]],A4,TBLANÇAMENTOS[[#All],[CRÉDITO]])-SUMIF(TBLANÇAMENTOS[[#All],[CONTA]],A4,TBLANÇAMENTOS[[#All],[DÉBITO]])</f>
        <v>5000</v>
      </c>
    </row>
    <row r="5" spans="1:2">
      <c r="A5" s="29"/>
    </row>
    <row r="6" spans="1:2">
      <c r="A6" s="27" t="s">
        <v>2</v>
      </c>
      <c r="B6" s="28">
        <f>SUM(B7:B14)</f>
        <v>1500</v>
      </c>
    </row>
    <row r="7" spans="1:2">
      <c r="A7" s="29" t="s">
        <v>5</v>
      </c>
      <c r="B7" s="28">
        <f>SUMIF(TBLANÇAMENTOS[[#All],[CONTA]],A7,TBLANÇAMENTOS[[#All],[CRÉDITO]])-SUMIF(TBLANÇAMENTOS[[#All],[CONTA]],A7,TBLANÇAMENTOS[[#All],[DÉBITO]])*-1</f>
        <v>1500</v>
      </c>
    </row>
    <row r="8" spans="1:2">
      <c r="A8" s="29" t="s">
        <v>7</v>
      </c>
      <c r="B8" s="28">
        <f>SUMIF(TBLANÇAMENTOS[[#All],[CONTA]],A8,TBLANÇAMENTOS[[#All],[CRÉDITO]])-SUMIF(TBLANÇAMENTOS[[#All],[CONTA]],A8,TBLANÇAMENTOS[[#All],[DÉBITO]])*-1</f>
        <v>0</v>
      </c>
    </row>
    <row r="9" spans="1:2">
      <c r="A9" s="29" t="s">
        <v>9</v>
      </c>
      <c r="B9" s="28">
        <f>SUMIF(TBLANÇAMENTOS[[#All],[CONTA]],A9,TBLANÇAMENTOS[[#All],[CRÉDITO]])-SUMIF(TBLANÇAMENTOS[[#All],[CONTA]],A9,TBLANÇAMENTOS[[#All],[DÉBITO]])*-1</f>
        <v>0</v>
      </c>
    </row>
    <row r="10" spans="1:2">
      <c r="A10" s="29" t="s">
        <v>11</v>
      </c>
      <c r="B10" s="28">
        <f>SUMIF(TBLANÇAMENTOS[[#All],[CONTA]],A10,TBLANÇAMENTOS[[#All],[CRÉDITO]])-SUMIF(TBLANÇAMENTOS[[#All],[CONTA]],A10,TBLANÇAMENTOS[[#All],[DÉBITO]])*-1</f>
        <v>0</v>
      </c>
    </row>
    <row r="11" spans="1:2">
      <c r="A11" s="29" t="s">
        <v>13</v>
      </c>
      <c r="B11" s="28">
        <f>SUMIF(TBLANÇAMENTOS[[#All],[CONTA]],A11,TBLANÇAMENTOS[[#All],[CRÉDITO]])-SUMIF(TBLANÇAMENTOS[[#All],[CONTA]],A11,TBLANÇAMENTOS[[#All],[DÉBITO]])*-1</f>
        <v>0</v>
      </c>
    </row>
    <row r="12" spans="1:2">
      <c r="A12" s="29" t="s">
        <v>15</v>
      </c>
      <c r="B12" s="28">
        <f>SUMIF(TBLANÇAMENTOS[[#All],[CONTA]],A12,TBLANÇAMENTOS[[#All],[CRÉDITO]])-SUMIF(TBLANÇAMENTOS[[#All],[CONTA]],A12,TBLANÇAMENTOS[[#All],[DÉBITO]])*-1</f>
        <v>0</v>
      </c>
    </row>
    <row r="13" spans="1:2">
      <c r="A13" s="29" t="s">
        <v>16</v>
      </c>
      <c r="B13" s="28">
        <f>SUMIF(TBLANÇAMENTOS[[#All],[CONTA]],A13,TBLANÇAMENTOS[[#All],[CRÉDITO]])-SUMIF(TBLANÇAMENTOS[[#All],[CONTA]],A13,TBLANÇAMENTOS[[#All],[DÉBITO]])*-1</f>
        <v>0</v>
      </c>
    </row>
    <row r="14" spans="1:2">
      <c r="A14" s="29" t="s">
        <v>17</v>
      </c>
      <c r="B14" s="28">
        <f>SUMIF(TBLANÇAMENTOS[[#All],[CONTA]],A14,TBLANÇAMENTOS[[#All],[CRÉDITO]])-SUMIF(TBLANÇAMENTOS[[#All],[CONTA]],A14,TBLANÇAMENTOS[[#All],[DÉBITO]])*-1</f>
        <v>0</v>
      </c>
    </row>
    <row r="15" spans="1:2">
      <c r="A15" s="29"/>
    </row>
    <row r="16" spans="1:2">
      <c r="A16" s="27" t="s">
        <v>3</v>
      </c>
      <c r="B16" s="28">
        <f>SUM(B17:B21)</f>
        <v>200</v>
      </c>
    </row>
    <row r="17" spans="1:2">
      <c r="A17" s="29" t="s">
        <v>6</v>
      </c>
      <c r="B17" s="28">
        <f>SUMIF(TBLANÇAMENTOS[[#All],[CONTA]],A17,TBLANÇAMENTOS[[#All],[CRÉDITO]])-SUMIF(TBLANÇAMENTOS[[#All],[CONTA]],A17,TBLANÇAMENTOS[[#All],[DÉBITO]])*-1</f>
        <v>200</v>
      </c>
    </row>
    <row r="18" spans="1:2">
      <c r="A18" s="29" t="s">
        <v>8</v>
      </c>
      <c r="B18" s="28">
        <f>SUMIF(TBLANÇAMENTOS[[#All],[CONTA]],A18,TBLANÇAMENTOS[[#All],[CRÉDITO]])-SUMIF(TBLANÇAMENTOS[[#All],[CONTA]],A18,TBLANÇAMENTOS[[#All],[DÉBITO]])*-1</f>
        <v>0</v>
      </c>
    </row>
    <row r="19" spans="1:2">
      <c r="A19" s="29" t="s">
        <v>10</v>
      </c>
      <c r="B19" s="28">
        <f>SUMIF(TBLANÇAMENTOS[[#All],[CONTA]],A19,TBLANÇAMENTOS[[#All],[CRÉDITO]])-SUMIF(TBLANÇAMENTOS[[#All],[CONTA]],A19,TBLANÇAMENTOS[[#All],[DÉBITO]])*-1</f>
        <v>0</v>
      </c>
    </row>
    <row r="20" spans="1:2">
      <c r="A20" s="29" t="s">
        <v>12</v>
      </c>
      <c r="B20" s="28">
        <f>SUMIF(TBLANÇAMENTOS[[#All],[CONTA]],A20,TBLANÇAMENTOS[[#All],[CRÉDITO]])-SUMIF(TBLANÇAMENTOS[[#All],[CONTA]],A20,TBLANÇAMENTOS[[#All],[DÉBITO]])*-1</f>
        <v>0</v>
      </c>
    </row>
    <row r="21" spans="1:2">
      <c r="A21" s="29" t="s">
        <v>14</v>
      </c>
      <c r="B21" s="28">
        <f>SUMIF(TBLANÇAMENTOS[[#All],[CONTA]],A21,TBLANÇAMENTOS[[#All],[CRÉDITO]])-SUMIF(TBLANÇAMENTOS[[#All],[CONTA]],A21,TBLANÇAMENTOS[[#All],[DÉBITO]])*-1</f>
        <v>0</v>
      </c>
    </row>
    <row r="23" spans="1:2">
      <c r="A23" s="27" t="s">
        <v>25</v>
      </c>
      <c r="B23" s="28">
        <f>B4-B6-B16</f>
        <v>3300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4</vt:i4>
      </vt:variant>
    </vt:vector>
  </HeadingPairs>
  <TitlesOfParts>
    <vt:vector size="8" baseType="lpstr">
      <vt:lpstr>CONTAS</vt:lpstr>
      <vt:lpstr>LANÇAMENTOS</vt:lpstr>
      <vt:lpstr>ORÇAMENTO</vt:lpstr>
      <vt:lpstr>GRÁFICOS</vt:lpstr>
      <vt:lpstr>DESPESAS_FIXAS</vt:lpstr>
      <vt:lpstr>DESPESAS_VARIÁVEIS</vt:lpstr>
      <vt:lpstr>GRUPOS</vt:lpstr>
      <vt:lpstr>RECEITAS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</dc:creator>
  <cp:lastModifiedBy>Tiago</cp:lastModifiedBy>
  <dcterms:created xsi:type="dcterms:W3CDTF">2019-09-25T15:01:12Z</dcterms:created>
  <dcterms:modified xsi:type="dcterms:W3CDTF">2019-10-13T14:15:14Z</dcterms:modified>
</cp:coreProperties>
</file>